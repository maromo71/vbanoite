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OneDrive\Área de Trabalho\"/>
    </mc:Choice>
  </mc:AlternateContent>
  <xr:revisionPtr revIDLastSave="0" documentId="13_ncr:1_{A57D16C2-D353-467E-BFCF-4FBF49FD2191}" xr6:coauthVersionLast="45" xr6:coauthVersionMax="45" xr10:uidLastSave="{00000000-0000-0000-0000-000000000000}"/>
  <bookViews>
    <workbookView xWindow="-108" yWindow="-108" windowWidth="23256" windowHeight="12576" activeTab="3" xr2:uid="{0F074F06-9015-447D-801B-5AD83B1E0DEB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4" i="4"/>
  <c r="D5" i="4"/>
  <c r="D6" i="4"/>
  <c r="D7" i="4"/>
  <c r="D8" i="4"/>
  <c r="D9" i="4"/>
  <c r="D10" i="4"/>
  <c r="D4" i="4"/>
  <c r="G3" i="3"/>
  <c r="G4" i="3"/>
  <c r="G5" i="3"/>
  <c r="G6" i="3"/>
  <c r="G7" i="3"/>
  <c r="G8" i="3"/>
  <c r="G9" i="3"/>
  <c r="G2" i="3"/>
  <c r="F3" i="3"/>
  <c r="F4" i="3"/>
  <c r="F5" i="3"/>
  <c r="F6" i="3"/>
  <c r="F7" i="3"/>
  <c r="F8" i="3"/>
  <c r="F9" i="3"/>
  <c r="F2" i="3"/>
  <c r="E3" i="3"/>
  <c r="E4" i="3"/>
  <c r="E5" i="3"/>
  <c r="E6" i="3"/>
  <c r="E7" i="3"/>
  <c r="E8" i="3"/>
  <c r="E9" i="3"/>
  <c r="E2" i="3"/>
  <c r="C18" i="2"/>
  <c r="D18" i="2"/>
  <c r="E18" i="2"/>
  <c r="F18" i="2"/>
  <c r="G18" i="2"/>
  <c r="B18" i="2"/>
  <c r="C16" i="2"/>
  <c r="D16" i="2"/>
  <c r="E16" i="2"/>
  <c r="F16" i="2"/>
  <c r="G16" i="2"/>
  <c r="B16" i="2"/>
  <c r="I5" i="1"/>
  <c r="I6" i="1"/>
  <c r="I7" i="1"/>
  <c r="I8" i="1"/>
  <c r="I9" i="1"/>
  <c r="H5" i="1"/>
  <c r="H6" i="1"/>
  <c r="H7" i="1"/>
  <c r="H8" i="1"/>
  <c r="H9" i="1"/>
  <c r="G5" i="1"/>
  <c r="G6" i="1"/>
  <c r="G7" i="1"/>
  <c r="G8" i="1"/>
  <c r="G9" i="1"/>
  <c r="I4" i="1"/>
  <c r="H4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<sst xmlns="http://schemas.openxmlformats.org/spreadsheetml/2006/main" count="65" uniqueCount="65">
  <si>
    <t>Empresa Nacional S/A</t>
  </si>
  <si>
    <t>Código</t>
  </si>
  <si>
    <t>Produto</t>
  </si>
  <si>
    <t>Jan</t>
  </si>
  <si>
    <t>Fev</t>
  </si>
  <si>
    <t>Mar</t>
  </si>
  <si>
    <t>Porca</t>
  </si>
  <si>
    <t>Parafuso</t>
  </si>
  <si>
    <t>Arruela</t>
  </si>
  <si>
    <t>Prego</t>
  </si>
  <si>
    <t>Alicate</t>
  </si>
  <si>
    <t>Martelo</t>
  </si>
  <si>
    <t>Tot. 1. Trim</t>
  </si>
  <si>
    <t>Máximo</t>
  </si>
  <si>
    <t>Mínimo</t>
  </si>
  <si>
    <t>Média</t>
  </si>
  <si>
    <t>Contas a Pagar</t>
  </si>
  <si>
    <t>Janeiro</t>
  </si>
  <si>
    <t>Fevereiro</t>
  </si>
  <si>
    <t>Março</t>
  </si>
  <si>
    <t>Abril</t>
  </si>
  <si>
    <t>Maio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</si>
  <si>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</si>
  <si>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</si>
  <si>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</si>
  <si>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</si>
  <si>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</si>
  <si>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</si>
  <si>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</si>
  <si>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</si>
  <si>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</si>
  <si>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</si>
  <si>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>Academia</t>
  </si>
  <si>
    <t>Total de Contas</t>
  </si>
  <si>
    <t>Saldo</t>
  </si>
  <si>
    <t>-</t>
  </si>
  <si>
    <t>Nome</t>
  </si>
  <si>
    <t>Eduardo</t>
  </si>
  <si>
    <t>Maria</t>
  </si>
  <si>
    <t>Helena</t>
  </si>
  <si>
    <t>Gabriel</t>
  </si>
  <si>
    <t>Edson</t>
  </si>
  <si>
    <t>Elisangela</t>
  </si>
  <si>
    <t>Regina</t>
  </si>
  <si>
    <t>Paulo</t>
  </si>
  <si>
    <t>Salário Bruto</t>
  </si>
  <si>
    <t>INSS</t>
  </si>
  <si>
    <t>Gratificação</t>
  </si>
  <si>
    <t>INSS R$</t>
  </si>
  <si>
    <t>Gratificação R$</t>
  </si>
  <si>
    <t>Salário Líquido</t>
  </si>
  <si>
    <t>Valor do Dólar</t>
  </si>
  <si>
    <t>Papelaria Papel Branco</t>
  </si>
  <si>
    <t>Produtos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</si>
  <si>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</si>
  <si>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</si>
  <si>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</si>
  <si>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</si>
  <si>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</si>
  <si>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</si>
  <si>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</si>
  <si>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t>Qtde</t>
  </si>
  <si>
    <t>Preço Unit.</t>
  </si>
  <si>
    <t>Total R$</t>
  </si>
  <si>
    <t>Total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</si>
</sst>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0" fillId="0" borderId="2" xfId="0" applyBorder="1"/>
    <xf numFmtId="43" fontId="0" fillId="0" borderId="3" xfId="1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0" fillId="0" borderId="7" xfId="0" applyBorder="1"/>
    <xf numFmtId="0" fontId="0" fillId="0" borderId="8" xfId="0" applyBorder="1"/>
    <xf numFmtId="43" fontId="0" fillId="0" borderId="8" xfId="1" applyFont="1" applyBorder="1"/>
    <xf numFmtId="43" fontId="0" fillId="0" borderId="9" xfId="1" applyFont="1" applyBorder="1"/>
    <xf numFmtId="44" fontId="0" fillId="0" borderId="0" xfId="2" applyFont="1"/>
    <xf numFmtId="44" fontId="0" fillId="0" borderId="0" xfId="0" applyNumberFormat="1"/>
    <xf numFmtId="0" fontId="5" fillId="2" borderId="0" xfId="0" applyFont="1" applyFill="1" applyAlignment="1">
      <alignment horizontal="center"/>
    </xf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2" fillId="2" borderId="0" xfId="0" applyFont="1" applyFill="1"/>
    <xf numFmtId="44" fontId="2" fillId="2" borderId="0" xfId="2" applyFont="1" applyFill="1"/>
    <xf numFmtId="0" fontId="6" fillId="2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22">
    <dxf>
      <numFmt numFmtId="164" formatCode="_-[$$-409]* #,##0.00_ ;_-[$$-409]* \-#,##0.00\ ;_-[$$-409]* &quot;-&quot;??_ ;_-@_ 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6739F-D5CB-4777-8B6F-2D86A8EF5B74}" name="Tabela1" displayName="Tabela1" ref="A3:I9" totalsRowShown="0" headerRowDxfId="8" dataDxfId="9" headerRowBorderDxfId="20" tableBorderDxfId="21" totalsRowBorderDxfId="19" dataCellStyle="Vírgula">
  <tableColumns count="9">
    <tableColumn id="1" xr3:uid="{17D4CA03-3C71-4029-9579-529480B8ABCC}" name="Código" dataDxfId="18"/>
    <tableColumn id="2" xr3:uid="{1484599C-7B50-4C39-A014-DE69CF82BB77}" name="Produto" dataDxfId="17"/>
    <tableColumn id="3" xr3:uid="{9901493C-A0DF-41A2-B83A-43B076C36647}" name="Jan" dataDxfId="16" dataCellStyle="Vírgula"/>
    <tableColumn id="4" xr3:uid="{FF08125E-8089-48E6-A41F-926678114C88}" name="Fev" dataDxfId="15" dataCellStyle="Vírgula"/>
    <tableColumn id="5" xr3:uid="{6E34FC36-6DB4-4D0A-BAAE-6AE9B3789E62}" name="Mar" dataDxfId="14" dataCellStyle="Vírgula"/>
    <tableColumn id="6" xr3:uid="{1A8A6DF5-4887-4234-8A3A-9526E937B93E}" name="Tot. 1. Trim" dataDxfId="13" dataCellStyle="Vírgula">
      <calculatedColumnFormula>SUM(C4:E4)</calculatedColumnFormula>
    </tableColumn>
    <tableColumn id="7" xr3:uid="{1111D1A0-D9D7-4FCC-8C3E-83D623F47648}" name="Máximo" dataDxfId="12" dataCellStyle="Vírgula">
      <calculatedColumnFormula>MAX(C4:E4)</calculatedColumnFormula>
    </tableColumn>
    <tableColumn id="8" xr3:uid="{0D0BDD2F-A8DA-43E7-BE91-B9A0BB75EC22}" name="Mínimo" dataDxfId="11" dataCellStyle="Vírgula">
      <calculatedColumnFormula>MIN(C4:E4)</calculatedColumnFormula>
    </tableColumn>
    <tableColumn id="9" xr3:uid="{E1F1FBB8-E946-4582-BF78-F40BED906278}" name="Média" dataDxfId="10" dataCellStyle="Vírgula">
      <calculatedColumnFormula>AVERAGE(C4:E4)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19BFC-1407-4792-BA3B-0B00090C9E62}" name="Tabela2" displayName="Tabela2" ref="A3:G18" totalsRowShown="0">
  <tableColumns count="7">
    <tableColumn id="1" xr3:uid="{CC5054AC-C948-4B05-BB57-3497D15DAC60}" name="-"/>
    <tableColumn id="2" xr3:uid="{E395EEDA-F026-494C-A133-00B50508B3C3}" name="Janeiro"/>
    <tableColumn id="3" xr3:uid="{9045959C-A164-41A8-910F-01CA15CCE79A}" name="Fevereiro"/>
    <tableColumn id="4" xr3:uid="{67F85AFE-FBEC-4632-8926-5993B6955EB8}" name="Março"/>
    <tableColumn id="5" xr3:uid="{7812E0C9-9CB5-4665-9A0B-773D68FC2B79}" name="Abril"/>
    <tableColumn id="6" xr3:uid="{9C1E9708-2797-49E7-92A8-31168D1F2E23}" name="Maio"/>
    <tableColumn id="7" xr3:uid="{455115EA-3889-4895-8ED5-481D9B3B23CE}" name="Junh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116B8F-046E-4C74-9E65-3D15E9C29127}" name="Tabela3" displayName="Tabela3" ref="A1:G9" totalsRowShown="0">
  <tableColumns count="7">
    <tableColumn id="1" xr3:uid="{0D2CF16B-1431-4817-B1DA-38544AA64759}" name="Nome"/>
    <tableColumn id="2" xr3:uid="{4C99ABB5-36FB-4AE4-ADBA-8A882F0A4E49}" name="Salário Bruto"/>
    <tableColumn id="3" xr3:uid="{F1D63E7A-A744-4325-A028-326A2BE906B6}" name="INSS" dataDxfId="7"/>
    <tableColumn id="4" xr3:uid="{22E01B59-FEC2-4578-9C5D-132CBDB6F7EA}" name="Gratificação" dataDxfId="6"/>
    <tableColumn id="5" xr3:uid="{03AA16C8-0CCD-43EE-BF55-CFF7C87F0C55}" name="INSS R$" dataDxfId="5" dataCellStyle="Moeda">
      <calculatedColumnFormula>B2*C2</calculatedColumnFormula>
    </tableColumn>
    <tableColumn id="6" xr3:uid="{8394A681-8F28-4EAA-A317-9D1042298F8B}" name="Gratificação R$" dataDxfId="4" dataCellStyle="Moeda">
      <calculatedColumnFormula>B2*D2</calculatedColumnFormula>
    </tableColumn>
    <tableColumn id="7" xr3:uid="{2ADAC611-ABC0-4873-B00E-C01DC0A3A3FA}" name="Salário Líquido" dataDxfId="3">
      <calculatedColumnFormula>B2+F2-E2</calculatedColumnFormula>
    </tableColumn>
  </tableColumns>
  <tableStyleInfo name="TableStyleDark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694F6B-6783-4A7A-A6A1-A682CF7AC0F9}" name="Tabela4" displayName="Tabela4" ref="A3:E10" totalsRowShown="0">
  <tableColumns count="5">
    <tableColumn id="1" xr3:uid="{FBB87CCC-492E-41F3-B1FB-2AE58F202217}" name="Produtos"/>
    <tableColumn id="2" xr3:uid="{6192F974-9C40-4313-B4FC-EC30AD709E36}" name="Qtde"/>
    <tableColumn id="3" xr3:uid="{846ED37F-EDE8-468F-882E-5E8A0105B97D}" name="Preço Unit." dataDxfId="2" dataCellStyle="Moeda"/>
    <tableColumn id="4" xr3:uid="{9DB6C31E-8065-4956-8731-1DECD4B163A1}" name="Total R$" dataDxfId="1">
      <calculatedColumnFormula>B4*C4</calculatedColumnFormula>
    </tableColumn>
    <tableColumn id="5" xr3:uid="{68771E99-BE08-4D5A-B9F0-3338E5F7C149}" name="Total US$" dataDxfId="0">
      <calculatedColumnFormula>D4/$B$1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1EBA-1269-4B1B-B62E-55D788EB1AF2}">
  <dimension ref="A1:I9"/>
  <sheetViews>
    <sheetView zoomScale="200" zoomScaleNormal="200" workbookViewId="0">
      <selection activeCell="H11" sqref="H11"/>
    </sheetView>
  </sheetViews>
  <sheetFormatPr defaultRowHeight="14.4" x14ac:dyDescent="0.3"/>
  <cols>
    <col min="3" max="4" width="9.33203125" bestFit="1" customWidth="1"/>
    <col min="5" max="5" width="10.44140625" bestFit="1" customWidth="1"/>
    <col min="6" max="6" width="11.21875" customWidth="1"/>
    <col min="7" max="7" width="10.44140625" bestFit="1" customWidth="1"/>
    <col min="8" max="9" width="9.33203125" bestFit="1" customWidth="1"/>
  </cols>
  <sheetData>
    <row r="1" spans="1:9" x14ac:dyDescent="0.3">
      <c r="A1" t="s">
        <v>0</v>
      </c>
    </row>
    <row r="3" spans="1:9" x14ac:dyDescent="0.3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15</v>
      </c>
    </row>
    <row r="4" spans="1:9" x14ac:dyDescent="0.3">
      <c r="A4" s="3">
        <v>1</v>
      </c>
      <c r="B4" s="1" t="s">
        <v>6</v>
      </c>
      <c r="C4" s="2">
        <v>4500</v>
      </c>
      <c r="D4" s="2">
        <v>5040</v>
      </c>
      <c r="E4" s="2">
        <v>5696</v>
      </c>
      <c r="F4" s="2">
        <f>SUM(C4:E4)</f>
        <v>15236</v>
      </c>
      <c r="G4" s="2">
        <f>MAX(C4:E4)</f>
        <v>5696</v>
      </c>
      <c r="H4" s="2">
        <f>MIN(C4:E4)</f>
        <v>4500</v>
      </c>
      <c r="I4" s="4">
        <f>AVERAGE(C4:E4)</f>
        <v>5078.666666666667</v>
      </c>
    </row>
    <row r="5" spans="1:9" x14ac:dyDescent="0.3">
      <c r="A5" s="3">
        <v>2</v>
      </c>
      <c r="B5" s="1" t="s">
        <v>7</v>
      </c>
      <c r="C5" s="2">
        <v>6250</v>
      </c>
      <c r="D5" s="2">
        <v>7000</v>
      </c>
      <c r="E5" s="2">
        <v>7910</v>
      </c>
      <c r="F5" s="2">
        <f t="shared" ref="F5:F9" si="0">SUM(C5:E5)</f>
        <v>21160</v>
      </c>
      <c r="G5" s="2">
        <f t="shared" ref="G5:G9" si="1">MAX(C5:E5)</f>
        <v>7910</v>
      </c>
      <c r="H5" s="2">
        <f t="shared" ref="H5:H9" si="2">MIN(C5:E5)</f>
        <v>6250</v>
      </c>
      <c r="I5" s="4">
        <f t="shared" ref="I5:I9" si="3">AVERAGE(C5:E5)</f>
        <v>7053.333333333333</v>
      </c>
    </row>
    <row r="6" spans="1:9" x14ac:dyDescent="0.3">
      <c r="A6" s="3">
        <v>3</v>
      </c>
      <c r="B6" s="1" t="s">
        <v>8</v>
      </c>
      <c r="C6" s="2">
        <v>3300</v>
      </c>
      <c r="D6" s="2">
        <v>3696</v>
      </c>
      <c r="E6" s="2">
        <v>4176</v>
      </c>
      <c r="F6" s="2">
        <f t="shared" si="0"/>
        <v>11172</v>
      </c>
      <c r="G6" s="2">
        <f t="shared" si="1"/>
        <v>4176</v>
      </c>
      <c r="H6" s="2">
        <f t="shared" si="2"/>
        <v>3300</v>
      </c>
      <c r="I6" s="4">
        <f t="shared" si="3"/>
        <v>3724</v>
      </c>
    </row>
    <row r="7" spans="1:9" x14ac:dyDescent="0.3">
      <c r="A7" s="3">
        <v>4</v>
      </c>
      <c r="B7" s="1" t="s">
        <v>9</v>
      </c>
      <c r="C7" s="2">
        <v>8000</v>
      </c>
      <c r="D7" s="2">
        <v>8690</v>
      </c>
      <c r="E7" s="2">
        <v>10125</v>
      </c>
      <c r="F7" s="2">
        <f t="shared" si="0"/>
        <v>26815</v>
      </c>
      <c r="G7" s="2">
        <f t="shared" si="1"/>
        <v>10125</v>
      </c>
      <c r="H7" s="2">
        <f t="shared" si="2"/>
        <v>8000</v>
      </c>
      <c r="I7" s="4">
        <f t="shared" si="3"/>
        <v>8938.3333333333339</v>
      </c>
    </row>
    <row r="8" spans="1:9" x14ac:dyDescent="0.3">
      <c r="A8" s="3">
        <v>5</v>
      </c>
      <c r="B8" s="1" t="s">
        <v>10</v>
      </c>
      <c r="C8" s="2">
        <v>4557</v>
      </c>
      <c r="D8" s="2">
        <v>5104</v>
      </c>
      <c r="E8" s="2">
        <v>5676</v>
      </c>
      <c r="F8" s="2">
        <f t="shared" si="0"/>
        <v>15337</v>
      </c>
      <c r="G8" s="2">
        <f t="shared" si="1"/>
        <v>5676</v>
      </c>
      <c r="H8" s="2">
        <f t="shared" si="2"/>
        <v>4557</v>
      </c>
      <c r="I8" s="4">
        <f t="shared" si="3"/>
        <v>5112.333333333333</v>
      </c>
    </row>
    <row r="9" spans="1:9" x14ac:dyDescent="0.3">
      <c r="A9" s="8">
        <v>6</v>
      </c>
      <c r="B9" s="9" t="s">
        <v>11</v>
      </c>
      <c r="C9" s="10">
        <v>3260</v>
      </c>
      <c r="D9" s="10">
        <v>3640</v>
      </c>
      <c r="E9" s="10">
        <v>4113</v>
      </c>
      <c r="F9" s="10">
        <f t="shared" si="0"/>
        <v>11013</v>
      </c>
      <c r="G9" s="10">
        <f t="shared" si="1"/>
        <v>4113</v>
      </c>
      <c r="H9" s="10">
        <f t="shared" si="2"/>
        <v>3260</v>
      </c>
      <c r="I9" s="11">
        <f t="shared" si="3"/>
        <v>3671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902A-B291-4AC9-A684-7186F09DEAAC}">
  <dimension ref="A1:G18"/>
  <sheetViews>
    <sheetView zoomScale="200" zoomScaleNormal="200" workbookViewId="0">
      <selection activeCell="A4" sqref="A4"/>
    </sheetView>
  </sheetViews>
  <sheetFormatPr defaultRowHeight="14.4" x14ac:dyDescent="0.3"/>
  <cols>
    <col min="1" max="1" width="12.33203125" customWidth="1"/>
    <col min="2" max="7" width="10.44140625" bestFit="1" customWidth="1"/>
  </cols>
  <sheetData>
    <row r="1" spans="1:7" ht="18" x14ac:dyDescent="0.35">
      <c r="A1" s="14" t="s">
        <v>16</v>
      </c>
      <c r="B1" s="14"/>
      <c r="C1" s="14"/>
      <c r="D1" s="14"/>
      <c r="E1" s="14"/>
      <c r="F1" s="14"/>
      <c r="G1" s="14"/>
    </row>
    <row r="3" spans="1:7" x14ac:dyDescent="0.3">
      <c r="A3" t="s">
        <v>35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</row>
    <row r="4" spans="1:7" x14ac:dyDescent="0.3">
      <c r="A4" t="s">
        <v>23</v>
      </c>
      <c r="B4" s="12">
        <v>500</v>
      </c>
      <c r="C4" s="12">
        <v>750</v>
      </c>
      <c r="D4" s="12">
        <v>800</v>
      </c>
      <c r="E4" s="12">
        <v>700</v>
      </c>
      <c r="F4" s="12">
        <v>654</v>
      </c>
      <c r="G4" s="12">
        <v>700</v>
      </c>
    </row>
    <row r="6" spans="1:7" x14ac:dyDescent="0.3">
      <c r="A6" t="s">
        <v>24</v>
      </c>
    </row>
    <row r="7" spans="1:7" x14ac:dyDescent="0.3">
      <c r="A7" t="s">
        <v>25</v>
      </c>
      <c r="B7" s="12">
        <v>10</v>
      </c>
      <c r="C7" s="12">
        <v>15</v>
      </c>
      <c r="D7" s="12">
        <v>15</v>
      </c>
      <c r="E7" s="12">
        <v>12</v>
      </c>
      <c r="F7" s="12">
        <v>12</v>
      </c>
      <c r="G7" s="12">
        <v>11</v>
      </c>
    </row>
    <row r="8" spans="1:7" x14ac:dyDescent="0.3">
      <c r="A8" t="s">
        <v>26</v>
      </c>
      <c r="B8" s="12">
        <v>50</v>
      </c>
      <c r="C8" s="12">
        <v>60</v>
      </c>
      <c r="D8" s="12">
        <v>54</v>
      </c>
      <c r="E8" s="12">
        <v>55</v>
      </c>
      <c r="F8" s="12">
        <v>54</v>
      </c>
      <c r="G8" s="12">
        <v>56</v>
      </c>
    </row>
    <row r="9" spans="1:7" x14ac:dyDescent="0.3">
      <c r="A9" t="s">
        <v>27</v>
      </c>
      <c r="B9" s="12">
        <v>300</v>
      </c>
      <c r="C9" s="12">
        <v>250</v>
      </c>
      <c r="D9" s="12">
        <v>300</v>
      </c>
      <c r="E9" s="12">
        <v>300</v>
      </c>
      <c r="F9" s="12">
        <v>200</v>
      </c>
      <c r="G9" s="12">
        <v>200</v>
      </c>
    </row>
    <row r="10" spans="1:7" x14ac:dyDescent="0.3">
      <c r="A10" t="s">
        <v>28</v>
      </c>
      <c r="B10" s="12">
        <v>40</v>
      </c>
      <c r="C10" s="12">
        <v>40</v>
      </c>
      <c r="D10" s="12">
        <v>40</v>
      </c>
      <c r="E10" s="12">
        <v>40</v>
      </c>
      <c r="F10" s="12">
        <v>40</v>
      </c>
      <c r="G10" s="12">
        <v>40</v>
      </c>
    </row>
    <row r="11" spans="1:7" x14ac:dyDescent="0.3">
      <c r="A11" t="s">
        <v>29</v>
      </c>
      <c r="B11" s="12">
        <v>10</v>
      </c>
      <c r="C11" s="12">
        <v>15</v>
      </c>
      <c r="D11" s="12">
        <v>14</v>
      </c>
      <c r="E11" s="12">
        <v>15</v>
      </c>
      <c r="F11" s="12">
        <v>20</v>
      </c>
      <c r="G11" s="12">
        <v>31</v>
      </c>
    </row>
    <row r="12" spans="1:7" x14ac:dyDescent="0.3">
      <c r="A12" t="s">
        <v>30</v>
      </c>
      <c r="B12" s="12">
        <v>120</v>
      </c>
      <c r="C12" s="12">
        <v>150</v>
      </c>
      <c r="D12" s="12">
        <v>130</v>
      </c>
      <c r="E12" s="12">
        <v>200</v>
      </c>
      <c r="F12" s="12">
        <v>150</v>
      </c>
      <c r="G12" s="12">
        <v>190</v>
      </c>
    </row>
    <row r="13" spans="1:7" x14ac:dyDescent="0.3">
      <c r="A13" t="s">
        <v>31</v>
      </c>
      <c r="B13" s="12">
        <v>50</v>
      </c>
      <c r="C13" s="12">
        <v>60</v>
      </c>
      <c r="D13" s="12">
        <v>65</v>
      </c>
      <c r="E13" s="12">
        <v>70</v>
      </c>
      <c r="F13" s="12">
        <v>65</v>
      </c>
      <c r="G13" s="12">
        <v>85</v>
      </c>
    </row>
    <row r="14" spans="1:7" x14ac:dyDescent="0.3">
      <c r="A14" t="s">
        <v>32</v>
      </c>
      <c r="B14" s="12">
        <v>145</v>
      </c>
      <c r="C14" s="12">
        <v>145</v>
      </c>
      <c r="D14" s="12">
        <v>145</v>
      </c>
      <c r="E14" s="12">
        <v>145</v>
      </c>
      <c r="F14" s="12">
        <v>100</v>
      </c>
      <c r="G14" s="12">
        <v>145</v>
      </c>
    </row>
    <row r="16" spans="1:7" x14ac:dyDescent="0.3">
      <c r="A16" t="s">
        <v>33</v>
      </c>
      <c r="B16" s="13">
        <f>SUM(B7:B14)</f>
        <v>725</v>
      </c>
      <c r="C16" s="13">
        <f t="shared" ref="C16:G16" si="0">SUM(C7:C14)</f>
        <v>735</v>
      </c>
      <c r="D16" s="13">
        <f t="shared" si="0"/>
        <v>763</v>
      </c>
      <c r="E16" s="13">
        <f t="shared" si="0"/>
        <v>837</v>
      </c>
      <c r="F16" s="13">
        <f t="shared" si="0"/>
        <v>641</v>
      </c>
      <c r="G16" s="13">
        <f t="shared" si="0"/>
        <v>758</v>
      </c>
    </row>
    <row r="18" spans="1:7" x14ac:dyDescent="0.3">
      <c r="A18" t="s">
        <v>34</v>
      </c>
      <c r="B18" s="13">
        <f>B4-B16</f>
        <v>-225</v>
      </c>
      <c r="C18" s="13">
        <f t="shared" ref="C18:G18" si="1">C4-C16</f>
        <v>15</v>
      </c>
      <c r="D18" s="13">
        <f t="shared" si="1"/>
        <v>37</v>
      </c>
      <c r="E18" s="13">
        <f t="shared" si="1"/>
        <v>-137</v>
      </c>
      <c r="F18" s="13">
        <f t="shared" si="1"/>
        <v>13</v>
      </c>
      <c r="G18" s="13">
        <f t="shared" si="1"/>
        <v>-58</v>
      </c>
    </row>
  </sheetData>
  <mergeCells count="1">
    <mergeCell ref="A1:G1"/>
  </mergeCells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9BA4-2087-42A4-8B40-27517F158D5F}">
  <dimension ref="A1:G9"/>
  <sheetViews>
    <sheetView zoomScale="200" zoomScaleNormal="200" workbookViewId="0">
      <selection activeCell="G9" sqref="G9"/>
    </sheetView>
  </sheetViews>
  <sheetFormatPr defaultRowHeight="14.4" x14ac:dyDescent="0.3"/>
  <cols>
    <col min="2" max="2" width="12.21875" customWidth="1"/>
    <col min="4" max="4" width="11.5546875" customWidth="1"/>
    <col min="5" max="5" width="9.33203125" bestFit="1" customWidth="1"/>
    <col min="6" max="6" width="14.109375" customWidth="1"/>
    <col min="7" max="7" width="13.6640625" customWidth="1"/>
  </cols>
  <sheetData>
    <row r="1" spans="1:7" x14ac:dyDescent="0.3">
      <c r="A1" t="s">
        <v>36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3">
      <c r="A2" t="s">
        <v>37</v>
      </c>
      <c r="B2">
        <v>853</v>
      </c>
      <c r="C2" s="15">
        <v>0.1</v>
      </c>
      <c r="D2" s="15">
        <v>0.09</v>
      </c>
      <c r="E2" s="12">
        <f>B2*C2</f>
        <v>85.300000000000011</v>
      </c>
      <c r="F2" s="12">
        <f>B2*D2</f>
        <v>76.77</v>
      </c>
      <c r="G2" s="13">
        <f>B2+F2-E2</f>
        <v>844.47</v>
      </c>
    </row>
    <row r="3" spans="1:7" x14ac:dyDescent="0.3">
      <c r="A3" t="s">
        <v>38</v>
      </c>
      <c r="B3">
        <v>951</v>
      </c>
      <c r="C3" s="16">
        <v>9.9900000000000003E-2</v>
      </c>
      <c r="D3" s="15">
        <v>0.08</v>
      </c>
      <c r="E3" s="12">
        <f t="shared" ref="E3:E9" si="0">B3*C3</f>
        <v>95.004900000000006</v>
      </c>
      <c r="F3" s="12">
        <f t="shared" ref="F3:F9" si="1">B3*D3</f>
        <v>76.08</v>
      </c>
      <c r="G3" s="13">
        <f t="shared" ref="G3:G9" si="2">B3+F3-E3</f>
        <v>932.07509999999991</v>
      </c>
    </row>
    <row r="4" spans="1:7" x14ac:dyDescent="0.3">
      <c r="A4" t="s">
        <v>39</v>
      </c>
      <c r="B4">
        <v>456</v>
      </c>
      <c r="C4" s="16">
        <v>8.6400000000000005E-2</v>
      </c>
      <c r="D4" s="15">
        <v>0.06</v>
      </c>
      <c r="E4" s="12">
        <f t="shared" si="0"/>
        <v>39.398400000000002</v>
      </c>
      <c r="F4" s="12">
        <f t="shared" si="1"/>
        <v>27.36</v>
      </c>
      <c r="G4" s="13">
        <f t="shared" si="2"/>
        <v>443.96160000000003</v>
      </c>
    </row>
    <row r="5" spans="1:7" x14ac:dyDescent="0.3">
      <c r="A5" t="s">
        <v>40</v>
      </c>
      <c r="B5">
        <v>500</v>
      </c>
      <c r="C5" s="16">
        <v>8.5000000000000006E-2</v>
      </c>
      <c r="D5" s="15">
        <v>0.06</v>
      </c>
      <c r="E5" s="12">
        <f t="shared" si="0"/>
        <v>42.5</v>
      </c>
      <c r="F5" s="12">
        <f t="shared" si="1"/>
        <v>30</v>
      </c>
      <c r="G5" s="13">
        <f t="shared" si="2"/>
        <v>487.5</v>
      </c>
    </row>
    <row r="6" spans="1:7" x14ac:dyDescent="0.3">
      <c r="A6" t="s">
        <v>41</v>
      </c>
      <c r="B6">
        <v>850</v>
      </c>
      <c r="C6" s="16">
        <v>8.9899999999999994E-2</v>
      </c>
      <c r="D6" s="15">
        <v>7.0000000000000007E-2</v>
      </c>
      <c r="E6" s="12">
        <f t="shared" si="0"/>
        <v>76.414999999999992</v>
      </c>
      <c r="F6" s="12">
        <f t="shared" si="1"/>
        <v>59.500000000000007</v>
      </c>
      <c r="G6" s="13">
        <f t="shared" si="2"/>
        <v>833.08500000000004</v>
      </c>
    </row>
    <row r="7" spans="1:7" x14ac:dyDescent="0.3">
      <c r="A7" t="s">
        <v>42</v>
      </c>
      <c r="B7">
        <v>459</v>
      </c>
      <c r="C7" s="16">
        <v>6.25E-2</v>
      </c>
      <c r="D7" s="15">
        <v>0.05</v>
      </c>
      <c r="E7" s="12">
        <f t="shared" si="0"/>
        <v>28.6875</v>
      </c>
      <c r="F7" s="12">
        <f t="shared" si="1"/>
        <v>22.950000000000003</v>
      </c>
      <c r="G7" s="13">
        <f t="shared" si="2"/>
        <v>453.26249999999999</v>
      </c>
    </row>
    <row r="8" spans="1:7" x14ac:dyDescent="0.3">
      <c r="A8" t="s">
        <v>43</v>
      </c>
      <c r="B8">
        <v>478</v>
      </c>
      <c r="C8" s="16">
        <v>7.1199999999999999E-2</v>
      </c>
      <c r="D8" s="15">
        <v>0.05</v>
      </c>
      <c r="E8" s="12">
        <f t="shared" si="0"/>
        <v>34.0336</v>
      </c>
      <c r="F8" s="12">
        <f t="shared" si="1"/>
        <v>23.900000000000002</v>
      </c>
      <c r="G8" s="13">
        <f t="shared" si="2"/>
        <v>467.8664</v>
      </c>
    </row>
    <row r="9" spans="1:7" x14ac:dyDescent="0.3">
      <c r="A9" t="s">
        <v>44</v>
      </c>
      <c r="B9">
        <v>658</v>
      </c>
      <c r="C9" s="16">
        <v>5.9900000000000002E-2</v>
      </c>
      <c r="D9" s="15">
        <v>0.04</v>
      </c>
      <c r="E9" s="12">
        <f t="shared" si="0"/>
        <v>39.414200000000001</v>
      </c>
      <c r="F9" s="12">
        <f t="shared" si="1"/>
        <v>26.32</v>
      </c>
      <c r="G9" s="13">
        <f t="shared" si="2"/>
        <v>644.9058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BDC6-7B47-4255-8E26-99CA65182B9D}">
  <dimension ref="A1:H10"/>
  <sheetViews>
    <sheetView tabSelected="1" zoomScale="200" zoomScaleNormal="200" workbookViewId="0">
      <selection activeCell="H10" sqref="H10"/>
    </sheetView>
  </sheetViews>
  <sheetFormatPr defaultRowHeight="14.4" x14ac:dyDescent="0.3"/>
  <cols>
    <col min="1" max="1" width="15.77734375" customWidth="1"/>
    <col min="3" max="3" width="10.6640625" customWidth="1"/>
    <col min="4" max="4" width="12" bestFit="1" customWidth="1"/>
    <col min="5" max="5" width="13.21875" customWidth="1"/>
  </cols>
  <sheetData>
    <row r="1" spans="1:8" x14ac:dyDescent="0.3">
      <c r="A1" s="18" t="s">
        <v>51</v>
      </c>
      <c r="B1" s="19">
        <v>1.91</v>
      </c>
    </row>
    <row r="2" spans="1:8" ht="15.6" x14ac:dyDescent="0.3">
      <c r="A2" s="20" t="s">
        <v>52</v>
      </c>
      <c r="B2" s="20"/>
      <c r="C2" s="20"/>
      <c r="D2" s="20"/>
      <c r="E2" s="20"/>
    </row>
    <row r="3" spans="1:8" x14ac:dyDescent="0.3">
      <c r="A3" t="s">
        <v>53</v>
      </c>
      <c r="B3" t="s">
        <v>61</v>
      </c>
      <c r="C3" t="s">
        <v>62</v>
      </c>
      <c r="D3" t="s">
        <v>63</v>
      </c>
      <c r="E3" t="s">
        <v>64</v>
      </c>
    </row>
    <row r="4" spans="1:8" x14ac:dyDescent="0.3">
      <c r="A4" t="s">
        <v>54</v>
      </c>
      <c r="B4">
        <v>500</v>
      </c>
      <c r="C4" s="12">
        <v>0.15</v>
      </c>
      <c r="D4" s="13">
        <f>B4*C4</f>
        <v>75</v>
      </c>
      <c r="E4" s="17">
        <f>D4/$B$1</f>
        <v>39.267015706806284</v>
      </c>
    </row>
    <row r="5" spans="1:8" x14ac:dyDescent="0.3">
      <c r="A5" t="s">
        <v>55</v>
      </c>
      <c r="B5">
        <v>750</v>
      </c>
      <c r="C5" s="12">
        <v>0.15</v>
      </c>
      <c r="D5" s="13">
        <f t="shared" ref="D5:D10" si="0">B5*C5</f>
        <v>112.5</v>
      </c>
      <c r="E5" s="17">
        <f t="shared" ref="E5:E10" si="1">D5/$B$1</f>
        <v>58.900523560209429</v>
      </c>
    </row>
    <row r="6" spans="1:8" x14ac:dyDescent="0.3">
      <c r="A6" t="s">
        <v>56</v>
      </c>
      <c r="B6">
        <v>250</v>
      </c>
      <c r="C6" s="12">
        <v>10</v>
      </c>
      <c r="D6" s="13">
        <f t="shared" si="0"/>
        <v>2500</v>
      </c>
      <c r="E6" s="17">
        <f t="shared" si="1"/>
        <v>1308.9005235602094</v>
      </c>
    </row>
    <row r="7" spans="1:8" x14ac:dyDescent="0.3">
      <c r="A7" t="s">
        <v>57</v>
      </c>
      <c r="B7">
        <v>310</v>
      </c>
      <c r="C7" s="12">
        <v>0.5</v>
      </c>
      <c r="D7" s="13">
        <f t="shared" si="0"/>
        <v>155</v>
      </c>
      <c r="E7" s="17">
        <f t="shared" si="1"/>
        <v>81.15183246073299</v>
      </c>
    </row>
    <row r="8" spans="1:8" x14ac:dyDescent="0.3">
      <c r="A8" t="s">
        <v>58</v>
      </c>
      <c r="B8">
        <v>500</v>
      </c>
      <c r="C8" s="12">
        <v>0.1</v>
      </c>
      <c r="D8" s="13">
        <f t="shared" si="0"/>
        <v>50</v>
      </c>
      <c r="E8" s="17">
        <f t="shared" si="1"/>
        <v>26.178010471204189</v>
      </c>
    </row>
    <row r="9" spans="1:8" x14ac:dyDescent="0.3">
      <c r="A9" t="s">
        <v>59</v>
      </c>
      <c r="B9">
        <v>1500</v>
      </c>
      <c r="C9" s="12">
        <v>2.5</v>
      </c>
      <c r="D9" s="13">
        <f t="shared" si="0"/>
        <v>3750</v>
      </c>
      <c r="E9" s="17">
        <f t="shared" si="1"/>
        <v>1963.3507853403141</v>
      </c>
    </row>
    <row r="10" spans="1:8" x14ac:dyDescent="0.3">
      <c r="A10" t="s">
        <v>60</v>
      </c>
      <c r="B10">
        <v>190</v>
      </c>
      <c r="C10" s="12">
        <v>6</v>
      </c>
      <c r="D10" s="13">
        <f t="shared" si="0"/>
        <v>1140</v>
      </c>
      <c r="E10" s="17">
        <f t="shared" si="1"/>
        <v>596.85863874345557</v>
      </c>
      <c r="H10" s="16"/>
    </row>
  </sheetData>
  <mergeCells count="1">
    <mergeCell ref="A2:E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Moraes</dc:creator>
  <cp:lastModifiedBy>Marcos Moraes</cp:lastModifiedBy>
  <dcterms:created xsi:type="dcterms:W3CDTF">2020-02-18T03:02:53Z</dcterms:created>
  <dcterms:modified xsi:type="dcterms:W3CDTF">2020-02-18T03:43:46Z</dcterms:modified>
</cp:coreProperties>
</file>